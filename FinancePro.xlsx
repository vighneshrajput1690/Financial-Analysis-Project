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685169E6B72B4B5/Desktop/Projects/"/>
    </mc:Choice>
  </mc:AlternateContent>
  <xr:revisionPtr revIDLastSave="422" documentId="8_{BE14CE59-455D-47E4-B0DF-4C2D6C50B6B4}" xr6:coauthVersionLast="47" xr6:coauthVersionMax="47" xr10:uidLastSave="{42F0D140-2884-40C5-96C6-9FFC7E54C168}"/>
  <bookViews>
    <workbookView xWindow="5568" yWindow="4404" windowWidth="17280" windowHeight="8880" xr2:uid="{52C92E1E-6279-40DB-AA4E-A29CA17BB47C}"/>
  </bookViews>
  <sheets>
    <sheet name="Balance Sheet" sheetId="1" r:id="rId1"/>
    <sheet name="Profit &amp; Loss" sheetId="2" r:id="rId2"/>
    <sheet name="Analysis" sheetId="3" r:id="rId3"/>
    <sheet name="Valu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E13" i="3"/>
  <c r="E12" i="3"/>
  <c r="E11" i="3"/>
  <c r="E10" i="3"/>
  <c r="H7" i="3"/>
  <c r="H6" i="3"/>
  <c r="H4" i="3"/>
  <c r="H5" i="3"/>
  <c r="H3" i="3"/>
  <c r="C6" i="1"/>
  <c r="D6" i="1"/>
  <c r="E6" i="1"/>
  <c r="F6" i="1"/>
  <c r="B6" i="1"/>
  <c r="E6" i="3"/>
  <c r="E5" i="3"/>
  <c r="E4" i="3"/>
  <c r="E3" i="3"/>
  <c r="E2" i="3"/>
  <c r="B27" i="3"/>
  <c r="B26" i="3"/>
  <c r="B25" i="3"/>
  <c r="B24" i="3"/>
  <c r="B23" i="3"/>
  <c r="B13" i="3"/>
  <c r="B14" i="3"/>
  <c r="B15" i="3"/>
  <c r="B16" i="3"/>
  <c r="B17" i="3"/>
  <c r="B6" i="3"/>
  <c r="B7" i="3"/>
  <c r="B8" i="3"/>
  <c r="B5" i="3"/>
</calcChain>
</file>

<file path=xl/sharedStrings.xml><?xml version="1.0" encoding="utf-8"?>
<sst xmlns="http://schemas.openxmlformats.org/spreadsheetml/2006/main" count="33" uniqueCount="31">
  <si>
    <t>Particulars</t>
  </si>
  <si>
    <t>Assets</t>
  </si>
  <si>
    <t>Liabilites</t>
  </si>
  <si>
    <t>Total Equity</t>
  </si>
  <si>
    <t>in Crores</t>
  </si>
  <si>
    <t>Revenue</t>
  </si>
  <si>
    <t>Total Expenses</t>
  </si>
  <si>
    <t>Operating Profit</t>
  </si>
  <si>
    <t>Net Profit</t>
  </si>
  <si>
    <t>Year- On-Year Growth</t>
  </si>
  <si>
    <t>Growth=Current Year−Previous Year​/Previous Year</t>
  </si>
  <si>
    <t>Operating Margin</t>
  </si>
  <si>
    <t>Operating Margin=Operating Profit/Revenue</t>
  </si>
  <si>
    <t>Net Profit Margin</t>
  </si>
  <si>
    <t>Net Profit Margin=Net Profit/Revenue</t>
  </si>
  <si>
    <t>ROE(Return on Equity)</t>
  </si>
  <si>
    <t>ROCE(Return on Capital Employed)</t>
  </si>
  <si>
    <t>Capital Employed</t>
  </si>
  <si>
    <t>Debt to Equity</t>
  </si>
  <si>
    <t>Section1:Growth</t>
  </si>
  <si>
    <t>Section2:Profitability</t>
  </si>
  <si>
    <t>Section3:Risk</t>
  </si>
  <si>
    <t>Financial Insights</t>
  </si>
  <si>
    <t xml:space="preserve">Company </t>
  </si>
  <si>
    <t>EPS</t>
  </si>
  <si>
    <t>P/E Ratio</t>
  </si>
  <si>
    <t>Infosys</t>
  </si>
  <si>
    <t>TCS</t>
  </si>
  <si>
    <t>Wipro</t>
  </si>
  <si>
    <t>Valuation Insights</t>
  </si>
  <si>
    <t>Final Conclusion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</si>
</sst>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0.0%"/>
    <numFmt numFmtId="166" formatCode="_ [$₹-4009]\ * #,##0.00_ ;_ [$₹-4009]\ * \-#,##0.00_ ;_ [$₹-4009]\ * &quot;-&quot;??_ ;_ @_ "/>
  </numFmts>
  <fonts count="9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i/>
      <sz val="11"/>
      <color theme="1"/>
      <name val="Arial Rounded MT Bold"/>
      <family val="2"/>
    </font>
    <font>
      <b/>
      <i/>
      <sz val="11"/>
      <color theme="1"/>
      <name val="Aptos Display"/>
      <family val="2"/>
      <scheme val="major"/>
    </font>
    <font>
      <b/>
      <i/>
      <sz val="20"/>
      <color theme="1"/>
      <name val="Aptos Display"/>
      <family val="2"/>
      <scheme val="major"/>
    </font>
    <font>
      <b/>
      <i/>
      <sz val="22"/>
      <color theme="1"/>
      <name val="Aptos Display"/>
      <family val="2"/>
      <scheme val="major"/>
    </font>
    <font>
      <b/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3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1" applyNumberFormat="1" applyFont="1"/>
    <xf numFmtId="0" fontId="1" fillId="0" borderId="0" xfId="0" applyFont="1" applyAlignment="1">
      <alignment horizontal="left"/>
    </xf>
    <xf numFmtId="0" fontId="3" fillId="0" borderId="0" xfId="0" applyFont="1"/>
    <xf numFmtId="9" fontId="0" fillId="0" borderId="0" xfId="2" applyFont="1"/>
    <xf numFmtId="165" fontId="0" fillId="0" borderId="0" xfId="2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5" fontId="0" fillId="0" borderId="0" xfId="2" applyNumberFormat="1" applyFont="1" applyAlignment="1">
      <alignment horizontal="righ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8" fillId="0" borderId="0" xfId="0" applyFont="1"/>
    <xf numFmtId="166" fontId="0" fillId="0" borderId="0" xfId="0" applyNumberFormat="1"/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251460</xdr:colOff>
      <xdr:row>19</xdr:row>
      <xdr:rowOff>45720</xdr:rowOff>
    </xdr:from>
    <xdr:to>
      <xdr:col>8</xdr:col>
      <xdr:colOff>594360</xdr:colOff>
      <xdr:row>35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3B0E5E-6DC2-58DE-A70B-2D91BAB05018}"/>
            </a:ext>
          </a:extLst>
        </xdr:cNvPr>
        <xdr:cNvSpPr txBox="1"/>
      </xdr:nvSpPr>
      <xdr:spPr>
        <a:xfrm>
          <a:off x="4465320" y="3520440"/>
          <a:ext cx="5311140" cy="2880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1.Revenue has shown consistent growth over the 5-year period, indicating strong and stable business expansion.</a:t>
          </a:r>
        </a:p>
        <a:p>
          <a:r>
            <a:rPr lang="en-IN" sz="1100"/>
            <a:t>2.</a:t>
          </a:r>
          <a:r>
            <a:rPr lang="en-IN"/>
            <a:t>Year-on-year growth remains positive, reflecting sustained demand for the company’s services. </a:t>
          </a:r>
        </a:p>
        <a:p>
          <a:r>
            <a:rPr lang="en-IN" sz="1100"/>
            <a:t>3.</a:t>
          </a:r>
          <a:r>
            <a:rPr lang="en-IN"/>
            <a:t>Operating profit margins remain relatively stable, indicating effective cost management and operational efficiency. </a:t>
          </a:r>
          <a:endParaRPr lang="en-IN" sz="1100"/>
        </a:p>
        <a:p>
          <a:r>
            <a:rPr lang="en-IN" sz="1100"/>
            <a:t>4.</a:t>
          </a:r>
          <a:r>
            <a:rPr lang="en-IN"/>
            <a:t>Net profit margins are consistent across the years, showing the company’s ability to maintain profitability.</a:t>
          </a:r>
        </a:p>
        <a:p>
          <a:r>
            <a:rPr lang="en-IN" sz="1100"/>
            <a:t>5.</a:t>
          </a:r>
          <a:r>
            <a:rPr lang="en-IN"/>
            <a:t>Return on Equity (ROE) is strong (around 25%–30%), indicating efficient utilization of shareholder funds</a:t>
          </a:r>
        </a:p>
        <a:p>
          <a:r>
            <a:rPr lang="en-IN" sz="1100"/>
            <a:t>6.</a:t>
          </a:r>
          <a:r>
            <a:rPr lang="en-IN"/>
            <a:t>Return on Capital Employed (ROCE) remains consistently high (~25%), reflecting effective use of overall capital. </a:t>
          </a:r>
        </a:p>
        <a:p>
          <a:r>
            <a:rPr lang="en-IN" sz="1100"/>
            <a:t>7.</a:t>
          </a:r>
          <a:r>
            <a:rPr lang="en-IN"/>
            <a:t>The debt-to-equity ratio is low, indicating low financial risk and a strong balance sheet position.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8.</a:t>
          </a:r>
          <a:r>
            <a:rPr lang="en-IN"/>
            <a:t>Overall, the company demonstrates strong financial performance with steady growth, high profitability, and low leverage. </a:t>
          </a:r>
        </a:p>
        <a:p>
          <a:endParaRPr lang="en-IN" sz="1100"/>
        </a:p>
        <a:p>
          <a:endParaRPr lang="en-IN" sz="1100"/>
        </a:p>
        <a:p>
          <a:endParaRPr lang="en-IN" sz="1100"/>
        </a:p>
        <a:p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5</xdr:row>
      <xdr:rowOff>38100</xdr:rowOff>
    </xdr:from>
    <xdr:to>
      <xdr:col>11</xdr:col>
      <xdr:colOff>495300</xdr:colOff>
      <xdr:row>13</xdr:row>
      <xdr:rowOff>167640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5DA14C4-29A4-143E-706D-A59E0AAA1ADE}"/>
            </a:ext>
          </a:extLst>
        </xdr:cNvPr>
        <xdr:cNvSpPr txBox="1"/>
      </xdr:nvSpPr>
      <xdr:spPr>
        <a:xfrm>
          <a:off x="3093720" y="952500"/>
          <a:ext cx="4107180" cy="15925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1.</a:t>
          </a:r>
          <a:r>
            <a:rPr lang="en-IN"/>
            <a:t>Infosys’ P/E ratio is very close to TCS, indicating that it is valued similarly to the industry leader.</a:t>
          </a:r>
        </a:p>
        <a:p>
          <a:endParaRPr lang="en-IN" sz="1100"/>
        </a:p>
        <a:p>
          <a:r>
            <a:rPr lang="en-IN" sz="1100"/>
            <a:t>2.</a:t>
          </a:r>
          <a:r>
            <a:rPr lang="en-IN"/>
            <a:t>Compared to Wipro, Infosys has a higher P/E ratio, suggesting relatively stronger market confidence and growth expectations.</a:t>
          </a:r>
        </a:p>
        <a:p>
          <a:endParaRPr lang="en-IN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100"/>
            <a:t>3.</a:t>
          </a:r>
          <a:r>
            <a:rPr lang="en-IN"/>
            <a:t>Overall, Infosys appears to be </a:t>
          </a:r>
          <a:r>
            <a:rPr lang="en-IN" b="1"/>
            <a:t>fairly valued</a:t>
          </a:r>
          <a:r>
            <a:rPr lang="en-IN"/>
            <a:t> compared to its peers in the IT sector. </a:t>
          </a:r>
        </a:p>
        <a:p>
          <a:endParaRPr lang="en-IN" sz="1100"/>
        </a:p>
        <a:p>
          <a:endParaRPr lang="en-IN" sz="1100"/>
        </a:p>
        <a:p>
          <a:endParaRPr lang="en-IN" sz="1100"/>
        </a:p>
      </xdr:txBody>
    </xdr:sp>
    <xdr:clientData/>
  </xdr:twoCellAnchor>
  <xdr:twoCellAnchor>
    <xdr:from>
      <xdr:col>5</xdr:col>
      <xdr:colOff>525780</xdr:colOff>
      <xdr:row>19</xdr:row>
      <xdr:rowOff>45720</xdr:rowOff>
    </xdr:from>
    <xdr:to>
      <xdr:col>11</xdr:col>
      <xdr:colOff>228600</xdr:colOff>
      <xdr:row>26</xdr:row>
      <xdr:rowOff>167640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B8E1FD7-A8A6-E6AC-350C-032F5A2AB508}"/>
            </a:ext>
          </a:extLst>
        </xdr:cNvPr>
        <xdr:cNvSpPr txBox="1"/>
      </xdr:nvSpPr>
      <xdr:spPr>
        <a:xfrm>
          <a:off x="3573780" y="3520440"/>
          <a:ext cx="3360420" cy="14020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1.Based on financial analysis and relative valuation, Infosys demonstrates strong fundamentals with consistent growth, high profitability, and efficient capital utilization.</a:t>
          </a:r>
        </a:p>
        <a:p>
          <a:endParaRPr lang="en-IN" sz="1100"/>
        </a:p>
        <a:p>
          <a:r>
            <a:rPr lang="en-IN" sz="1100"/>
            <a:t>2.</a:t>
          </a:r>
          <a:r>
            <a:rPr lang="en-IN"/>
            <a:t>The company appears financially stable and fairly valued, making it a fundamentally strong business.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5060-625C-4F97-99D1-1D58DE94B3F8}">
  <dimension ref="A1:F6"/>
  <sheetViews>
    <sheetView tabSelected="1" workbookViewId="0">
      <selection activeCell="F3" sqref="F3"/>
    </sheetView>
  </sheetViews>
  <sheetFormatPr defaultRowHeight="14.4" x14ac:dyDescent="0.3"/>
  <cols>
    <col min="1" max="1" width="16.109375" bestFit="1" customWidth="1"/>
  </cols>
  <sheetData>
    <row r="1" spans="1:6" x14ac:dyDescent="0.3">
      <c r="F1" s="3" t="s">
        <v>4</v>
      </c>
    </row>
    <row r="2" spans="1:6" x14ac:dyDescent="0.3">
      <c r="A2" s="1" t="s">
        <v>0</v>
      </c>
      <c r="B2" s="1">
        <v>2021</v>
      </c>
      <c r="C2" s="1">
        <v>2022</v>
      </c>
      <c r="D2" s="1">
        <v>2023</v>
      </c>
      <c r="E2" s="1">
        <v>2024</v>
      </c>
      <c r="F2" s="1">
        <v>2025</v>
      </c>
    </row>
    <row r="3" spans="1:6" x14ac:dyDescent="0.3">
      <c r="A3" s="1" t="s">
        <v>1</v>
      </c>
      <c r="B3" s="2">
        <v>108386</v>
      </c>
      <c r="C3" s="2">
        <v>117885</v>
      </c>
      <c r="D3" s="2">
        <v>125816</v>
      </c>
      <c r="E3" s="2">
        <v>137814</v>
      </c>
      <c r="F3" s="2">
        <v>148903</v>
      </c>
    </row>
    <row r="4" spans="1:6" x14ac:dyDescent="0.3">
      <c r="A4" s="1" t="s">
        <v>2</v>
      </c>
      <c r="B4" s="2">
        <v>31604</v>
      </c>
      <c r="C4" s="2">
        <v>42149</v>
      </c>
      <c r="D4" s="2">
        <v>50021</v>
      </c>
      <c r="E4" s="2">
        <v>49353</v>
      </c>
      <c r="F4" s="2">
        <v>52703</v>
      </c>
    </row>
    <row r="5" spans="1:6" x14ac:dyDescent="0.3">
      <c r="A5" s="1" t="s">
        <v>3</v>
      </c>
      <c r="B5" s="2">
        <v>76782</v>
      </c>
      <c r="C5" s="2">
        <v>75736</v>
      </c>
      <c r="D5" s="2">
        <v>75795</v>
      </c>
      <c r="E5" s="2">
        <v>88461</v>
      </c>
      <c r="F5" s="2">
        <v>96203</v>
      </c>
    </row>
    <row r="6" spans="1:6" x14ac:dyDescent="0.3">
      <c r="A6" s="1" t="s">
        <v>17</v>
      </c>
      <c r="B6" s="2">
        <f>B5+B4</f>
        <v>108386</v>
      </c>
      <c r="C6" s="2">
        <f t="shared" ref="C6:F6" si="0">C5+C4</f>
        <v>117885</v>
      </c>
      <c r="D6" s="2">
        <f t="shared" si="0"/>
        <v>125816</v>
      </c>
      <c r="E6" s="2">
        <f t="shared" si="0"/>
        <v>137814</v>
      </c>
      <c r="F6" s="2">
        <f t="shared" si="0"/>
        <v>148906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5EF0-8F19-4146-8148-8591E9DAAE22}">
  <dimension ref="A2:F7"/>
  <sheetViews>
    <sheetView workbookViewId="0">
      <selection activeCell="E7" sqref="E7"/>
    </sheetView>
  </sheetViews>
  <sheetFormatPr defaultRowHeight="14.4" x14ac:dyDescent="0.3"/>
  <cols>
    <col min="1" max="1" width="14.5546875" bestFit="1" customWidth="1"/>
    <col min="2" max="2" width="12.33203125" bestFit="1" customWidth="1"/>
    <col min="3" max="6" width="11.33203125" bestFit="1" customWidth="1"/>
  </cols>
  <sheetData>
    <row r="2" spans="1:6" x14ac:dyDescent="0.3">
      <c r="F2" s="3" t="s">
        <v>4</v>
      </c>
    </row>
    <row r="3" spans="1:6" x14ac:dyDescent="0.3">
      <c r="A3" s="1" t="s">
        <v>0</v>
      </c>
      <c r="B3" s="1">
        <v>2021</v>
      </c>
      <c r="C3" s="1">
        <v>2022</v>
      </c>
      <c r="D3" s="1">
        <v>2023</v>
      </c>
      <c r="E3" s="1">
        <v>2024</v>
      </c>
      <c r="F3" s="1">
        <v>2025</v>
      </c>
    </row>
    <row r="4" spans="1:6" x14ac:dyDescent="0.3">
      <c r="A4" s="1" t="s">
        <v>5</v>
      </c>
      <c r="B4" s="4">
        <v>100472</v>
      </c>
      <c r="C4" s="4">
        <v>121641</v>
      </c>
      <c r="D4" s="4">
        <v>146767</v>
      </c>
      <c r="E4" s="4">
        <v>153670</v>
      </c>
      <c r="F4" s="4">
        <v>162990</v>
      </c>
    </row>
    <row r="5" spans="1:6" x14ac:dyDescent="0.3">
      <c r="A5" s="1" t="s">
        <v>6</v>
      </c>
      <c r="B5" s="4">
        <v>75045</v>
      </c>
      <c r="C5" s="4">
        <v>93826</v>
      </c>
      <c r="D5" s="4">
        <v>116141</v>
      </c>
      <c r="E5" s="4">
        <v>122393</v>
      </c>
      <c r="F5" s="4">
        <v>128982</v>
      </c>
    </row>
    <row r="6" spans="1:6" x14ac:dyDescent="0.3">
      <c r="A6" s="1" t="s">
        <v>7</v>
      </c>
      <c r="B6" s="4">
        <v>26823</v>
      </c>
      <c r="C6" s="4">
        <v>30310</v>
      </c>
      <c r="D6" s="4">
        <v>33606</v>
      </c>
      <c r="E6" s="4">
        <v>36458</v>
      </c>
      <c r="F6" s="4">
        <v>38024</v>
      </c>
    </row>
    <row r="7" spans="1:6" x14ac:dyDescent="0.3">
      <c r="A7" s="1" t="s">
        <v>8</v>
      </c>
      <c r="B7" s="4">
        <v>19423</v>
      </c>
      <c r="C7" s="4">
        <v>22146</v>
      </c>
      <c r="D7" s="4">
        <v>24108</v>
      </c>
      <c r="E7" s="4">
        <v>26248</v>
      </c>
      <c r="F7" s="4">
        <v>26750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95227-E512-484C-9E03-C204BDD1AE20}">
  <dimension ref="A1:J30"/>
  <sheetViews>
    <sheetView topLeftCell="A11" workbookViewId="0">
      <selection activeCell="M29" sqref="M29"/>
    </sheetView>
  </sheetViews>
  <sheetFormatPr defaultRowHeight="14.4" x14ac:dyDescent="0.3"/>
  <cols>
    <col min="1" max="1" width="41.21875" bestFit="1" customWidth="1"/>
    <col min="2" max="2" width="11.33203125" bestFit="1" customWidth="1"/>
    <col min="5" max="5" width="29" style="10" bestFit="1" customWidth="1"/>
    <col min="8" max="8" width="16.77734375" bestFit="1" customWidth="1"/>
    <col min="9" max="10" width="13.77734375" bestFit="1" customWidth="1"/>
  </cols>
  <sheetData>
    <row r="1" spans="1:10" x14ac:dyDescent="0.3">
      <c r="A1" s="14" t="s">
        <v>19</v>
      </c>
      <c r="E1" s="5" t="s">
        <v>15</v>
      </c>
      <c r="H1" s="14" t="s">
        <v>21</v>
      </c>
      <c r="J1" s="1"/>
    </row>
    <row r="2" spans="1:10" x14ac:dyDescent="0.3">
      <c r="A2" s="1" t="s">
        <v>9</v>
      </c>
      <c r="D2" s="1">
        <v>2021</v>
      </c>
      <c r="E2" s="11">
        <f>'Profit &amp; Loss'!B7/'Balance Sheet'!B5</f>
        <v>0.25296293402099451</v>
      </c>
      <c r="H2" s="1" t="s">
        <v>18</v>
      </c>
    </row>
    <row r="3" spans="1:10" x14ac:dyDescent="0.3">
      <c r="A3" s="6"/>
      <c r="D3" s="1">
        <v>2022</v>
      </c>
      <c r="E3" s="11">
        <f>'Profit &amp; Loss'!C7/'Balance Sheet'!C5</f>
        <v>0.29241047850427804</v>
      </c>
      <c r="G3" s="1">
        <v>2021</v>
      </c>
      <c r="H3" s="8">
        <f>'Balance Sheet'!B4/'Balance Sheet'!B3</f>
        <v>0.29158747439706234</v>
      </c>
    </row>
    <row r="4" spans="1:10" x14ac:dyDescent="0.3">
      <c r="A4" s="6" t="s">
        <v>10</v>
      </c>
      <c r="D4" s="1">
        <v>2023</v>
      </c>
      <c r="E4" s="11">
        <f>'Profit &amp; Loss'!D7/'Balance Sheet'!D5</f>
        <v>0.31806847417375816</v>
      </c>
      <c r="G4" s="1">
        <v>2022</v>
      </c>
      <c r="H4" s="8">
        <f>'Balance Sheet'!C4/'Balance Sheet'!C3</f>
        <v>0.35754336853713364</v>
      </c>
    </row>
    <row r="5" spans="1:10" x14ac:dyDescent="0.3">
      <c r="A5" s="12">
        <v>2021</v>
      </c>
      <c r="B5" s="7">
        <f>('Profit &amp; Loss'!C4-'Profit &amp; Loss'!B4)/'Profit &amp; Loss'!B4</f>
        <v>0.21069551715900947</v>
      </c>
      <c r="D5" s="1">
        <v>2024</v>
      </c>
      <c r="E5" s="11">
        <f>'Profit &amp; Loss'!E7/'Balance Sheet'!E5</f>
        <v>0.29671832785069124</v>
      </c>
      <c r="G5" s="1">
        <v>2023</v>
      </c>
      <c r="H5" s="8">
        <f>'Balance Sheet'!D4/'Balance Sheet'!D3</f>
        <v>0.39757264576842372</v>
      </c>
    </row>
    <row r="6" spans="1:10" x14ac:dyDescent="0.3">
      <c r="A6" s="5">
        <v>2022</v>
      </c>
      <c r="B6" s="7">
        <f>('Profit &amp; Loss'!C5-'Profit &amp; Loss'!B5)/'Profit &amp; Loss'!B5</f>
        <v>0.25026317542807647</v>
      </c>
      <c r="D6" s="1">
        <v>2025</v>
      </c>
      <c r="E6" s="11">
        <f>'Profit &amp; Loss'!F7/'Balance Sheet'!F5</f>
        <v>0.2780578568235918</v>
      </c>
      <c r="G6" s="1">
        <v>2024</v>
      </c>
      <c r="H6" s="8">
        <f>'Balance Sheet'!E4/'Balance Sheet'!E3</f>
        <v>0.35811310897296356</v>
      </c>
    </row>
    <row r="7" spans="1:10" x14ac:dyDescent="0.3">
      <c r="A7" s="5">
        <v>2023</v>
      </c>
      <c r="B7" s="7">
        <f>('Profit &amp; Loss'!C6-'Profit &amp; Loss'!B6)/'Profit &amp; Loss'!B6</f>
        <v>0.13000037281437571</v>
      </c>
      <c r="G7" s="1">
        <v>2025</v>
      </c>
      <c r="H7" s="8">
        <f>'Balance Sheet'!F4/'Balance Sheet'!F3</f>
        <v>0.35394182790138545</v>
      </c>
    </row>
    <row r="8" spans="1:10" x14ac:dyDescent="0.3">
      <c r="A8" s="5">
        <v>2024</v>
      </c>
      <c r="B8" s="7">
        <f>('Profit &amp; Loss'!C7-'Profit &amp; Loss'!B7)/'Profit &amp; Loss'!B7</f>
        <v>0.14019461463213714</v>
      </c>
      <c r="E8" s="5" t="s">
        <v>16</v>
      </c>
    </row>
    <row r="9" spans="1:10" x14ac:dyDescent="0.3">
      <c r="A9" s="5">
        <v>2025</v>
      </c>
      <c r="D9" s="1">
        <v>2021</v>
      </c>
      <c r="E9" s="11">
        <f>'Profit &amp; Loss'!B6/'Balance Sheet'!B6</f>
        <v>0.24747661137047219</v>
      </c>
    </row>
    <row r="10" spans="1:10" x14ac:dyDescent="0.3">
      <c r="A10" s="5"/>
      <c r="D10" s="1">
        <v>2022</v>
      </c>
      <c r="E10" s="11">
        <f>'Profit &amp; Loss'!C6/'Balance Sheet'!C6</f>
        <v>0.25711498494295287</v>
      </c>
    </row>
    <row r="11" spans="1:10" x14ac:dyDescent="0.3">
      <c r="A11" s="13" t="s">
        <v>20</v>
      </c>
      <c r="D11" s="1">
        <v>2023</v>
      </c>
      <c r="E11" s="11">
        <f>'Profit &amp; Loss'!D6/'Balance Sheet'!D6</f>
        <v>0.267104342849876</v>
      </c>
    </row>
    <row r="12" spans="1:10" x14ac:dyDescent="0.3">
      <c r="D12" s="1">
        <v>2024</v>
      </c>
      <c r="E12" s="11">
        <f>'Profit &amp; Loss'!E6/'Balance Sheet'!E6</f>
        <v>0.26454496640399378</v>
      </c>
    </row>
    <row r="13" spans="1:10" x14ac:dyDescent="0.3">
      <c r="A13" s="1" t="s">
        <v>11</v>
      </c>
      <c r="B13" s="7">
        <f>'Profit &amp; Loss'!B6/'Profit &amp; Loss'!B4</f>
        <v>0.26696990206226612</v>
      </c>
      <c r="D13" s="1">
        <v>2025</v>
      </c>
      <c r="E13" s="11">
        <f>'Profit &amp; Loss'!F6/'Balance Sheet'!F6</f>
        <v>0.25535572777456922</v>
      </c>
    </row>
    <row r="14" spans="1:10" x14ac:dyDescent="0.3">
      <c r="B14" s="7">
        <f>'Profit &amp; Loss'!C6/'Profit &amp; Loss'!C4</f>
        <v>0.24917585353622546</v>
      </c>
    </row>
    <row r="15" spans="1:10" x14ac:dyDescent="0.3">
      <c r="A15" t="s">
        <v>12</v>
      </c>
      <c r="B15" s="7">
        <f>'Profit &amp; Loss'!D6/'Profit &amp; Loss'!D4</f>
        <v>0.22897517834390566</v>
      </c>
    </row>
    <row r="16" spans="1:10" x14ac:dyDescent="0.3">
      <c r="A16" s="5">
        <v>2021</v>
      </c>
      <c r="B16" s="7">
        <f>'Profit &amp; Loss'!E6/'Profit &amp; Loss'!E4</f>
        <v>0.23724864970391099</v>
      </c>
      <c r="E16" s="20" t="s">
        <v>22</v>
      </c>
      <c r="F16" s="19"/>
      <c r="G16" s="19"/>
      <c r="H16" s="19"/>
    </row>
    <row r="17" spans="1:8" x14ac:dyDescent="0.3">
      <c r="A17" s="5">
        <v>2022</v>
      </c>
      <c r="B17" s="7">
        <f>'Profit &amp; Loss'!F6/'Profit &amp; Loss'!F4</f>
        <v>0.23329038591324622</v>
      </c>
      <c r="E17" s="19"/>
      <c r="F17" s="19"/>
      <c r="G17" s="19"/>
      <c r="H17" s="19"/>
    </row>
    <row r="18" spans="1:8" x14ac:dyDescent="0.3">
      <c r="A18" s="5">
        <v>2023</v>
      </c>
      <c r="E18" s="19"/>
      <c r="F18" s="19"/>
      <c r="G18" s="19"/>
      <c r="H18" s="19"/>
    </row>
    <row r="19" spans="1:8" x14ac:dyDescent="0.3">
      <c r="A19" s="5">
        <v>2024</v>
      </c>
      <c r="E19" s="19"/>
      <c r="F19" s="19"/>
      <c r="G19" s="19"/>
      <c r="H19" s="19"/>
    </row>
    <row r="20" spans="1:8" x14ac:dyDescent="0.3">
      <c r="A20" s="5">
        <v>2025</v>
      </c>
    </row>
    <row r="21" spans="1:8" x14ac:dyDescent="0.3">
      <c r="E21" s="9"/>
    </row>
    <row r="22" spans="1:8" x14ac:dyDescent="0.3">
      <c r="A22" s="1" t="s">
        <v>13</v>
      </c>
      <c r="E22" s="9"/>
    </row>
    <row r="23" spans="1:8" x14ac:dyDescent="0.3">
      <c r="B23" s="7">
        <f>'Profit &amp; Loss'!B7/'Profit &amp; Loss'!B4</f>
        <v>0.19331754120550998</v>
      </c>
      <c r="E23" s="9"/>
    </row>
    <row r="24" spans="1:8" x14ac:dyDescent="0.3">
      <c r="A24" t="s">
        <v>14</v>
      </c>
      <c r="B24" s="7">
        <f>'Profit &amp; Loss'!C7/'Profit &amp; Loss'!C4</f>
        <v>0.1820603250548746</v>
      </c>
      <c r="E24" s="9"/>
    </row>
    <row r="25" spans="1:8" x14ac:dyDescent="0.3">
      <c r="B25" s="7">
        <f>'Profit &amp; Loss'!D7/'Profit &amp; Loss'!D4</f>
        <v>0.16426035825492105</v>
      </c>
      <c r="E25" s="9"/>
    </row>
    <row r="26" spans="1:8" x14ac:dyDescent="0.3">
      <c r="A26" s="5">
        <v>2021</v>
      </c>
      <c r="B26" s="7">
        <f>'Profit &amp; Loss'!E7/'Profit &amp; Loss'!E4</f>
        <v>0.17080757467300059</v>
      </c>
      <c r="E26" s="9"/>
    </row>
    <row r="27" spans="1:8" x14ac:dyDescent="0.3">
      <c r="A27" s="5">
        <v>2022</v>
      </c>
      <c r="B27" s="7">
        <f>'Profit &amp; Loss'!F7/'Profit &amp; Loss'!F4</f>
        <v>0.16412049819007302</v>
      </c>
      <c r="E27" s="9"/>
    </row>
    <row r="28" spans="1:8" x14ac:dyDescent="0.3">
      <c r="A28" s="5">
        <v>2023</v>
      </c>
      <c r="E28" s="9"/>
    </row>
    <row r="29" spans="1:8" x14ac:dyDescent="0.3">
      <c r="A29" s="5">
        <v>2024</v>
      </c>
      <c r="E29" s="9"/>
    </row>
    <row r="30" spans="1:8" x14ac:dyDescent="0.3">
      <c r="A30" s="5">
        <v>2025</v>
      </c>
      <c r="E30" s="9"/>
    </row>
  </sheetData>
  <mergeCells count="1">
    <mergeCell ref="E16:H1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0CBDF-E27B-4108-BF1D-39DBE5B767CE}">
  <dimension ref="A1:K19"/>
  <sheetViews>
    <sheetView workbookViewId="0">
      <selection activeCell="N28" sqref="N28"/>
    </sheetView>
  </sheetViews>
  <sheetFormatPr defaultRowHeight="14.4" x14ac:dyDescent="0.3"/>
  <sheetData>
    <row r="1" spans="1:11" x14ac:dyDescent="0.3">
      <c r="G1" s="18" t="s">
        <v>29</v>
      </c>
      <c r="H1" s="19"/>
      <c r="I1" s="19"/>
      <c r="J1" s="19"/>
      <c r="K1" s="19"/>
    </row>
    <row r="2" spans="1:11" x14ac:dyDescent="0.3">
      <c r="A2" s="15" t="s">
        <v>23</v>
      </c>
      <c r="B2" s="15" t="s">
        <v>24</v>
      </c>
      <c r="C2" s="15" t="s">
        <v>25</v>
      </c>
      <c r="G2" s="19"/>
      <c r="H2" s="19"/>
      <c r="I2" s="19"/>
      <c r="J2" s="19"/>
      <c r="K2" s="19"/>
    </row>
    <row r="3" spans="1:11" x14ac:dyDescent="0.3">
      <c r="A3" s="16" t="s">
        <v>26</v>
      </c>
      <c r="B3" s="17">
        <v>16.14</v>
      </c>
      <c r="C3">
        <v>18</v>
      </c>
      <c r="G3" s="19"/>
      <c r="H3" s="19"/>
      <c r="I3" s="19"/>
      <c r="J3" s="19"/>
      <c r="K3" s="19"/>
    </row>
    <row r="4" spans="1:11" x14ac:dyDescent="0.3">
      <c r="A4" s="16" t="s">
        <v>27</v>
      </c>
      <c r="B4" s="17">
        <v>37.92</v>
      </c>
      <c r="C4">
        <v>17.8</v>
      </c>
      <c r="G4" s="19"/>
      <c r="H4" s="19"/>
      <c r="I4" s="19"/>
      <c r="J4" s="19"/>
      <c r="K4" s="19"/>
    </row>
    <row r="5" spans="1:11" x14ac:dyDescent="0.3">
      <c r="A5" s="16" t="s">
        <v>28</v>
      </c>
      <c r="B5" s="17">
        <v>12.6</v>
      </c>
      <c r="C5">
        <v>15.2</v>
      </c>
      <c r="G5" s="19"/>
      <c r="H5" s="19"/>
      <c r="I5" s="19"/>
      <c r="J5" s="19"/>
      <c r="K5" s="19"/>
    </row>
    <row r="17" spans="7:11" x14ac:dyDescent="0.3">
      <c r="G17" s="18" t="s">
        <v>30</v>
      </c>
      <c r="H17" s="19"/>
      <c r="I17" s="19"/>
      <c r="J17" s="19"/>
      <c r="K17" s="19"/>
    </row>
    <row r="18" spans="7:11" x14ac:dyDescent="0.3">
      <c r="G18" s="19"/>
      <c r="H18" s="19"/>
      <c r="I18" s="19"/>
      <c r="J18" s="19"/>
      <c r="K18" s="19"/>
    </row>
    <row r="19" spans="7:11" x14ac:dyDescent="0.3">
      <c r="G19" s="19"/>
      <c r="H19" s="19"/>
      <c r="I19" s="19"/>
      <c r="J19" s="19"/>
      <c r="K19" s="19"/>
    </row>
  </sheetData>
  <mergeCells count="2">
    <mergeCell ref="G1:K5"/>
    <mergeCell ref="G17:K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Profit &amp; Loss</vt:lpstr>
      <vt:lpstr>Analysis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Vighnesh Rajput</dc:creator>
  <cp:lastModifiedBy>Vighnesh Rajput</cp:lastModifiedBy>
  <dcterms:created xsi:type="dcterms:W3CDTF">2026-04-10T17:09:15Z</dcterms:created>
  <dcterms:modified xsi:type="dcterms:W3CDTF">2026-08-13T15:36:20Z</dcterms:modified>
</cp:coreProperties>
</file>